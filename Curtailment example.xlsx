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ewcastle-my.sharepoint.com/personal/ndmg2_newcastle_ac_uk/Documents/Teaching/EEE3029 - Net-Zero Energy Networks/2026-27/Examples/"/>
    </mc:Choice>
  </mc:AlternateContent>
  <xr:revisionPtr revIDLastSave="0" documentId="8_{94822C60-AFF9-4A3A-B20D-7944739D6B3E}" xr6:coauthVersionLast="47" xr6:coauthVersionMax="47" xr10:uidLastSave="{00000000-0000-0000-0000-000000000000}"/>
  <bookViews>
    <workbookView xWindow="-110" yWindow="-110" windowWidth="19420" windowHeight="10420" xr2:uid="{82CAD357-A9DB-4A22-B1E1-03CCAB7874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" i="1"/>
  <c r="H25" i="1"/>
  <c r="I25" i="1"/>
  <c r="J11" i="1"/>
  <c r="J12" i="1"/>
  <c r="J23" i="1"/>
  <c r="J24" i="1"/>
  <c r="K3" i="1"/>
  <c r="K4" i="1"/>
  <c r="K5" i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K16" i="1"/>
  <c r="K17" i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L3" i="1"/>
  <c r="L4" i="1"/>
  <c r="L5" i="1"/>
  <c r="L15" i="1"/>
  <c r="L16" i="1"/>
  <c r="L17" i="1"/>
  <c r="I2" i="1"/>
  <c r="H3" i="1"/>
  <c r="I3" i="1" s="1"/>
  <c r="H4" i="1"/>
  <c r="J4" i="1" s="1"/>
  <c r="H5" i="1"/>
  <c r="I5" i="1" s="1"/>
  <c r="H6" i="1"/>
  <c r="I6" i="1" s="1"/>
  <c r="H7" i="1"/>
  <c r="J7" i="1" s="1"/>
  <c r="H8" i="1"/>
  <c r="J8" i="1" s="1"/>
  <c r="H9" i="1"/>
  <c r="I9" i="1" s="1"/>
  <c r="H10" i="1"/>
  <c r="J10" i="1" s="1"/>
  <c r="H11" i="1"/>
  <c r="I11" i="1" s="1"/>
  <c r="H12" i="1"/>
  <c r="I12" i="1" s="1"/>
  <c r="H13" i="1"/>
  <c r="I13" i="1" s="1"/>
  <c r="H14" i="1"/>
  <c r="I14" i="1" s="1"/>
  <c r="H15" i="1"/>
  <c r="J15" i="1" s="1"/>
  <c r="H16" i="1"/>
  <c r="J16" i="1" s="1"/>
  <c r="H17" i="1"/>
  <c r="I17" i="1" s="1"/>
  <c r="H18" i="1"/>
  <c r="I18" i="1" s="1"/>
  <c r="H19" i="1"/>
  <c r="J19" i="1" s="1"/>
  <c r="H20" i="1"/>
  <c r="I20" i="1" s="1"/>
  <c r="H21" i="1"/>
  <c r="I21" i="1" s="1"/>
  <c r="H22" i="1"/>
  <c r="J22" i="1" s="1"/>
  <c r="H23" i="1"/>
  <c r="I23" i="1" s="1"/>
  <c r="H24" i="1"/>
  <c r="I24" i="1" s="1"/>
  <c r="H2" i="1"/>
  <c r="J2" i="1" s="1"/>
  <c r="I15" i="1"/>
  <c r="I16" i="1"/>
  <c r="I19" i="1"/>
  <c r="K2" i="1"/>
  <c r="L2" i="1" s="1"/>
  <c r="I10" i="1" l="1"/>
  <c r="J20" i="1"/>
  <c r="I8" i="1"/>
  <c r="I7" i="1"/>
  <c r="J5" i="1"/>
  <c r="I22" i="1"/>
  <c r="J3" i="1"/>
  <c r="J21" i="1"/>
  <c r="J9" i="1"/>
  <c r="J6" i="1"/>
  <c r="J14" i="1"/>
  <c r="J18" i="1"/>
  <c r="I4" i="1"/>
  <c r="J17" i="1"/>
  <c r="J13" i="1"/>
</calcChain>
</file>

<file path=xl/sharedStrings.xml><?xml version="1.0" encoding="utf-8"?>
<sst xmlns="http://schemas.openxmlformats.org/spreadsheetml/2006/main" count="16" uniqueCount="16">
  <si>
    <t>Gg</t>
  </si>
  <si>
    <t>Gb</t>
  </si>
  <si>
    <t>A</t>
  </si>
  <si>
    <t>B</t>
  </si>
  <si>
    <t>C</t>
  </si>
  <si>
    <t>Gw</t>
  </si>
  <si>
    <t>Time</t>
  </si>
  <si>
    <t>Lambda</t>
  </si>
  <si>
    <t>Total Cost</t>
  </si>
  <si>
    <t>Wind Capacity</t>
  </si>
  <si>
    <t>Demand</t>
  </si>
  <si>
    <t>Gas</t>
  </si>
  <si>
    <t>Biomass</t>
  </si>
  <si>
    <t>Wind</t>
  </si>
  <si>
    <t>Curtailed Wind Power</t>
  </si>
  <si>
    <t>Curtailed Wind Energy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</si>
</sst>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Wind capacity and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strRef>
              <c:f>Sheet1!$F$1</c:f>
              <c:strCache>
                <c:ptCount val="1"/>
                <c:pt idx="0">
                  <c:v>Wind Capacity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Sheet1!$F$2:$F$25</c:f>
              <c:numCache>
                <c:formatCode>General</c:formatCode>
                <c:ptCount val="24"/>
                <c:pt idx="0">
                  <c:v>166.90679</c:v>
                </c:pt>
                <c:pt idx="1">
                  <c:v>165.72772000000001</c:v>
                </c:pt>
                <c:pt idx="2">
                  <c:v>178.76535499999997</c:v>
                </c:pt>
                <c:pt idx="3">
                  <c:v>267.89659500000005</c:v>
                </c:pt>
                <c:pt idx="4">
                  <c:v>333.16871500000002</c:v>
                </c:pt>
                <c:pt idx="5">
                  <c:v>348.08623999999998</c:v>
                </c:pt>
                <c:pt idx="6">
                  <c:v>350.86810499999996</c:v>
                </c:pt>
                <c:pt idx="7">
                  <c:v>378.46773999999999</c:v>
                </c:pt>
                <c:pt idx="8">
                  <c:v>408.93217999999996</c:v>
                </c:pt>
                <c:pt idx="9">
                  <c:v>418.90257499999996</c:v>
                </c:pt>
                <c:pt idx="10">
                  <c:v>239.40287499999999</c:v>
                </c:pt>
                <c:pt idx="11">
                  <c:v>235.62434500000001</c:v>
                </c:pt>
                <c:pt idx="12">
                  <c:v>209.69229999999999</c:v>
                </c:pt>
                <c:pt idx="13">
                  <c:v>201.70500999999999</c:v>
                </c:pt>
                <c:pt idx="14">
                  <c:v>182.99998500000001</c:v>
                </c:pt>
                <c:pt idx="15">
                  <c:v>209.188895</c:v>
                </c:pt>
                <c:pt idx="16">
                  <c:v>222.278355</c:v>
                </c:pt>
                <c:pt idx="17">
                  <c:v>228.81857999999997</c:v>
                </c:pt>
                <c:pt idx="18">
                  <c:v>190.36951499999998</c:v>
                </c:pt>
                <c:pt idx="19">
                  <c:v>182.53154999999998</c:v>
                </c:pt>
                <c:pt idx="20">
                  <c:v>179.25729000000001</c:v>
                </c:pt>
                <c:pt idx="21">
                  <c:v>182.83012500000001</c:v>
                </c:pt>
                <c:pt idx="22">
                  <c:v>194.58824499999997</c:v>
                </c:pt>
                <c:pt idx="23">
                  <c:v>214.08334500000001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F8F-4E1B-A3E3-080A4AAE7503}"/>
            </c:ext>
          </c:extLst>
        </c:ser>
        <c:ser>
          <c:idx val="2"/>
          <c:order val="1"/>
          <c:tx>
            <c:strRef>
              <c:f>Sheet1!$G$1</c:f>
              <c:strCache>
                <c:ptCount val="1"/>
                <c:pt idx="0">
                  <c:v>Demand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Sheet1!$G$2:$G$26</c:f>
              <c:numCache>
                <c:formatCode>General</c:formatCode>
                <c:ptCount val="25"/>
                <c:pt idx="0">
                  <c:v>306.29765000000003</c:v>
                </c:pt>
                <c:pt idx="1">
                  <c:v>308.46622000000002</c:v>
                </c:pt>
                <c:pt idx="2">
                  <c:v>288.65782000000002</c:v>
                </c:pt>
                <c:pt idx="3">
                  <c:v>265.64571999999998</c:v>
                </c:pt>
                <c:pt idx="4">
                  <c:v>251.41318999999999</c:v>
                </c:pt>
                <c:pt idx="5">
                  <c:v>249.92004000000003</c:v>
                </c:pt>
                <c:pt idx="6">
                  <c:v>265.02640000000002</c:v>
                </c:pt>
                <c:pt idx="7">
                  <c:v>273.47028</c:v>
                </c:pt>
                <c:pt idx="8">
                  <c:v>288.53741000000002</c:v>
                </c:pt>
                <c:pt idx="9">
                  <c:v>315.19475999999997</c:v>
                </c:pt>
                <c:pt idx="10">
                  <c:v>340.19238000000001</c:v>
                </c:pt>
                <c:pt idx="11">
                  <c:v>357.43292000000002</c:v>
                </c:pt>
                <c:pt idx="12">
                  <c:v>382.93939</c:v>
                </c:pt>
                <c:pt idx="13">
                  <c:v>394.30178000000001</c:v>
                </c:pt>
                <c:pt idx="14">
                  <c:v>394.79395</c:v>
                </c:pt>
                <c:pt idx="15">
                  <c:v>408.26102000000003</c:v>
                </c:pt>
                <c:pt idx="16">
                  <c:v>434.64837999999997</c:v>
                </c:pt>
                <c:pt idx="17">
                  <c:v>450.01113999999995</c:v>
                </c:pt>
                <c:pt idx="18">
                  <c:v>434.77512999999999</c:v>
                </c:pt>
                <c:pt idx="19">
                  <c:v>409.15342999999996</c:v>
                </c:pt>
                <c:pt idx="20">
                  <c:v>387.04694000000001</c:v>
                </c:pt>
                <c:pt idx="21">
                  <c:v>355.41723999999999</c:v>
                </c:pt>
                <c:pt idx="22">
                  <c:v>313.48818</c:v>
                </c:pt>
                <c:pt idx="23">
                  <c:v>275.52499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F8F-4E1B-A3E3-080A4AAE7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5472168"/>
        <c:axId val="405473224"/>
      </c:scatterChart>
      <c:valAx>
        <c:axId val="405472168"/>
        <c:scaling>
          <c:orientation val="minMax"/>
          <c:max val="1"/>
          <c:min val="-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73224"/>
        <c:crosses val="autoZero"/>
        <c:crossBetween val="midCat"/>
        <c:majorUnit val="8.3333300000000013E-2"/>
      </c:valAx>
      <c:valAx>
        <c:axId val="405473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(MW)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5472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Economic Dispatch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Sheet1!$I$1</c:f>
              <c:strCache>
                <c:ptCount val="1"/>
                <c:pt idx="0">
                  <c:v>Gas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numRef>
              <c:f>Sheet1!$E$2:$E$28</c:f>
              <c:numCache>
                <c:formatCode>h:mm</c:formatCode>
                <c:ptCount val="27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Sheet1!$I$2:$I$28</c:f>
              <c:numCache>
                <c:formatCode>General</c:formatCode>
                <c:ptCount val="27"/>
                <c:pt idx="0">
                  <c:v>119.69543000000002</c:v>
                </c:pt>
                <c:pt idx="1">
                  <c:v>121.36925000000001</c:v>
                </c:pt>
                <c:pt idx="2">
                  <c:v>104.94623250000004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100.39475250000002</c:v>
                </c:pt>
                <c:pt idx="11">
                  <c:v>110.90428750000001</c:v>
                </c:pt>
                <c:pt idx="12">
                  <c:v>136.62354499999998</c:v>
                </c:pt>
                <c:pt idx="13">
                  <c:v>146.298385</c:v>
                </c:pt>
                <c:pt idx="14">
                  <c:v>155.89698249999998</c:v>
                </c:pt>
                <c:pt idx="15">
                  <c:v>149.53606249999999</c:v>
                </c:pt>
                <c:pt idx="16">
                  <c:v>156.1850125</c:v>
                </c:pt>
                <c:pt idx="17">
                  <c:v>160.59627999999998</c:v>
                </c:pt>
                <c:pt idx="18">
                  <c:v>172.20280750000001</c:v>
                </c:pt>
                <c:pt idx="19">
                  <c:v>163.31093999999999</c:v>
                </c:pt>
                <c:pt idx="20">
                  <c:v>153.894825</c:v>
                </c:pt>
                <c:pt idx="21">
                  <c:v>136.29355750000002</c:v>
                </c:pt>
                <c:pt idx="22">
                  <c:v>109.44996750000001</c:v>
                </c:pt>
                <c:pt idx="23">
                  <c:v>61.441644999999994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02-49EE-B4CC-CFB20A120BF0}"/>
            </c:ext>
          </c:extLst>
        </c:ser>
        <c:ser>
          <c:idx val="1"/>
          <c:order val="1"/>
          <c:tx>
            <c:strRef>
              <c:f>Sheet1!$J$1</c:f>
              <c:strCache>
                <c:ptCount val="1"/>
                <c:pt idx="0">
                  <c:v>Biomass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numRef>
              <c:f>Sheet1!$E$2:$E$28</c:f>
              <c:numCache>
                <c:formatCode>h:mm</c:formatCode>
                <c:ptCount val="27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Sheet1!$J$2:$J$28</c:f>
              <c:numCache>
                <c:formatCode>General</c:formatCode>
                <c:ptCount val="27"/>
                <c:pt idx="0">
                  <c:v>19.695430000000016</c:v>
                </c:pt>
                <c:pt idx="1">
                  <c:v>21.369250000000015</c:v>
                </c:pt>
                <c:pt idx="2">
                  <c:v>4.9462325000000362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0.39475250000002404</c:v>
                </c:pt>
                <c:pt idx="11">
                  <c:v>10.904287500000009</c:v>
                </c:pt>
                <c:pt idx="12">
                  <c:v>36.623544999999993</c:v>
                </c:pt>
                <c:pt idx="13">
                  <c:v>46.298385000000017</c:v>
                </c:pt>
                <c:pt idx="14">
                  <c:v>55.896982499999979</c:v>
                </c:pt>
                <c:pt idx="15">
                  <c:v>49.5360625</c:v>
                </c:pt>
                <c:pt idx="16">
                  <c:v>56.185012500000013</c:v>
                </c:pt>
                <c:pt idx="17">
                  <c:v>60.59628</c:v>
                </c:pt>
                <c:pt idx="18">
                  <c:v>72.202807500000006</c:v>
                </c:pt>
                <c:pt idx="19">
                  <c:v>63.310940000000002</c:v>
                </c:pt>
                <c:pt idx="20">
                  <c:v>53.894824999999997</c:v>
                </c:pt>
                <c:pt idx="21">
                  <c:v>36.29355750000002</c:v>
                </c:pt>
                <c:pt idx="22">
                  <c:v>9.4499675000000138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702-49EE-B4CC-CFB20A120BF0}"/>
            </c:ext>
          </c:extLst>
        </c:ser>
        <c:ser>
          <c:idx val="2"/>
          <c:order val="2"/>
          <c:tx>
            <c:strRef>
              <c:f>Sheet1!$K$1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numRef>
              <c:f>Sheet1!$E$2:$E$28</c:f>
              <c:numCache>
                <c:formatCode>h:mm</c:formatCode>
                <c:ptCount val="27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cat>
          <c:val>
            <c:numRef>
              <c:f>Sheet1!$K$2:$K$28</c:f>
              <c:numCache>
                <c:formatCode>General</c:formatCode>
                <c:ptCount val="27"/>
                <c:pt idx="0">
                  <c:v>166.90679</c:v>
                </c:pt>
                <c:pt idx="1">
                  <c:v>165.72772000000001</c:v>
                </c:pt>
                <c:pt idx="2">
                  <c:v>178.76535499999997</c:v>
                </c:pt>
                <c:pt idx="3">
                  <c:v>265.64571999999998</c:v>
                </c:pt>
                <c:pt idx="4">
                  <c:v>251.41318999999999</c:v>
                </c:pt>
                <c:pt idx="5">
                  <c:v>249.92004000000003</c:v>
                </c:pt>
                <c:pt idx="6">
                  <c:v>265.02640000000002</c:v>
                </c:pt>
                <c:pt idx="7">
                  <c:v>273.47028</c:v>
                </c:pt>
                <c:pt idx="8">
                  <c:v>288.53741000000002</c:v>
                </c:pt>
                <c:pt idx="9">
                  <c:v>315.19475999999997</c:v>
                </c:pt>
                <c:pt idx="10">
                  <c:v>239.40287499999999</c:v>
                </c:pt>
                <c:pt idx="11">
                  <c:v>235.62434500000001</c:v>
                </c:pt>
                <c:pt idx="12">
                  <c:v>209.69229999999999</c:v>
                </c:pt>
                <c:pt idx="13">
                  <c:v>201.70500999999999</c:v>
                </c:pt>
                <c:pt idx="14">
                  <c:v>182.99998500000001</c:v>
                </c:pt>
                <c:pt idx="15">
                  <c:v>209.188895</c:v>
                </c:pt>
                <c:pt idx="16">
                  <c:v>222.278355</c:v>
                </c:pt>
                <c:pt idx="17">
                  <c:v>228.81857999999997</c:v>
                </c:pt>
                <c:pt idx="18">
                  <c:v>190.36951499999998</c:v>
                </c:pt>
                <c:pt idx="19">
                  <c:v>182.53154999999998</c:v>
                </c:pt>
                <c:pt idx="20">
                  <c:v>179.25729000000001</c:v>
                </c:pt>
                <c:pt idx="21">
                  <c:v>182.83012500000001</c:v>
                </c:pt>
                <c:pt idx="22">
                  <c:v>194.58824499999997</c:v>
                </c:pt>
                <c:pt idx="23">
                  <c:v>214.08334500000001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702-49EE-B4CC-CFB20A120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73224"/>
        <c:axId val="979575688"/>
      </c:areaChart>
      <c:catAx>
        <c:axId val="979573224"/>
        <c:scaling>
          <c:orientation val="minMax"/>
        </c:scaling>
        <c:delete val="0"/>
        <c:axPos val="b"/>
        <c:numFmt formatCode="h: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75688"/>
        <c:crosses val="autoZero"/>
        <c:auto val="1"/>
        <c:lblAlgn val="ctr"/>
        <c:lblOffset val="100"/>
        <c:noMultiLvlLbl val="0"/>
      </c:catAx>
      <c:valAx>
        <c:axId val="979575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732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Curtailment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Sheet1!$L$1</c:f>
              <c:strCache>
                <c:ptCount val="1"/>
                <c:pt idx="0">
                  <c:v>Curtailed Wind Power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Sheet1!$E$2:$E$28</c:f>
              <c:numCache>
                <c:formatCode>h:mm</c:formatCode>
                <c:ptCount val="27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Sheet1!$L$2:$L$28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2.2508750000000646</c:v>
                </c:pt>
                <c:pt idx="4">
                  <c:v>81.755525000000034</c:v>
                </c:pt>
                <c:pt idx="5">
                  <c:v>98.166199999999947</c:v>
                </c:pt>
                <c:pt idx="6">
                  <c:v>85.841704999999934</c:v>
                </c:pt>
                <c:pt idx="7">
                  <c:v>104.99745999999999</c:v>
                </c:pt>
                <c:pt idx="8">
                  <c:v>120.39476999999994</c:v>
                </c:pt>
                <c:pt idx="9">
                  <c:v>103.70781499999998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C6E-4768-972A-7EBF0E91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518056"/>
        <c:axId val="894519464"/>
      </c:scatterChart>
      <c:scatterChart>
        <c:scatterStyle val="lineMarker"/>
        <c:varyColors val="0"/>
        <c:ser>
          <c:idx val="1"/>
          <c:order val="1"/>
          <c:tx>
            <c:strRef>
              <c:f>Sheet1!$M$1</c:f>
              <c:strCache>
                <c:ptCount val="1"/>
                <c:pt idx="0">
                  <c:v>Curtailed Wind Energy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Sheet1!$E$2:$E$28</c:f>
              <c:numCache>
                <c:formatCode>h:mm</c:formatCode>
                <c:ptCount val="27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Sheet1!$M$2:$M$28</c:f>
              <c:numCache>
                <c:formatCode>General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2.2508750000000646</c:v>
                </c:pt>
                <c:pt idx="4">
                  <c:v>84.006400000000099</c:v>
                </c:pt>
                <c:pt idx="5">
                  <c:v>182.17260000000005</c:v>
                </c:pt>
                <c:pt idx="6">
                  <c:v>268.01430499999998</c:v>
                </c:pt>
                <c:pt idx="7">
                  <c:v>373.01176499999997</c:v>
                </c:pt>
                <c:pt idx="8">
                  <c:v>493.40653499999991</c:v>
                </c:pt>
                <c:pt idx="9">
                  <c:v>597.11434999999983</c:v>
                </c:pt>
                <c:pt idx="10">
                  <c:v>597.11434999999983</c:v>
                </c:pt>
                <c:pt idx="11">
                  <c:v>597.11434999999983</c:v>
                </c:pt>
                <c:pt idx="12">
                  <c:v>597.11434999999983</c:v>
                </c:pt>
                <c:pt idx="13">
                  <c:v>597.11434999999983</c:v>
                </c:pt>
                <c:pt idx="14">
                  <c:v>597.11434999999983</c:v>
                </c:pt>
                <c:pt idx="15">
                  <c:v>597.11434999999983</c:v>
                </c:pt>
                <c:pt idx="16">
                  <c:v>597.11434999999983</c:v>
                </c:pt>
                <c:pt idx="17">
                  <c:v>597.11434999999983</c:v>
                </c:pt>
                <c:pt idx="18">
                  <c:v>597.11434999999983</c:v>
                </c:pt>
                <c:pt idx="19">
                  <c:v>597.11434999999983</c:v>
                </c:pt>
                <c:pt idx="20">
                  <c:v>597.11434999999983</c:v>
                </c:pt>
                <c:pt idx="21">
                  <c:v>597.11434999999983</c:v>
                </c:pt>
                <c:pt idx="22">
                  <c:v>597.11434999999983</c:v>
                </c:pt>
                <c:pt idx="23">
                  <c:v>597.11434999999983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C6E-4768-972A-7EBF0E9179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71816"/>
        <c:axId val="894524392"/>
      </c:scatterChart>
      <c:valAx>
        <c:axId val="894518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519464"/>
        <c:crosses val="autoZero"/>
        <c:crossBetween val="midCat"/>
      </c:valAx>
      <c:valAx>
        <c:axId val="894519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518056"/>
        <c:crosses val="autoZero"/>
        <c:crossBetween val="midCat"/>
      </c:valAx>
      <c:valAx>
        <c:axId val="89452439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71816"/>
        <c:crosses val="max"/>
        <c:crossBetween val="midCat"/>
      </c:valAx>
      <c:valAx>
        <c:axId val="979571816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89452439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Lambda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Sheet1!$H$2:$H$25</c:f>
              <c:numCache>
                <c:formatCode>General</c:formatCode>
                <c:ptCount val="24"/>
                <c:pt idx="0">
                  <c:v>53.939086000000003</c:v>
                </c:pt>
                <c:pt idx="1">
                  <c:v>54.273850000000003</c:v>
                </c:pt>
                <c:pt idx="2">
                  <c:v>50.989246500000007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50.078950500000005</c:v>
                </c:pt>
                <c:pt idx="11">
                  <c:v>52.180857500000002</c:v>
                </c:pt>
                <c:pt idx="12">
                  <c:v>57.324708999999999</c:v>
                </c:pt>
                <c:pt idx="13">
                  <c:v>59.259677000000003</c:v>
                </c:pt>
                <c:pt idx="14">
                  <c:v>61.179396499999996</c:v>
                </c:pt>
                <c:pt idx="15">
                  <c:v>59.9072125</c:v>
                </c:pt>
                <c:pt idx="16">
                  <c:v>61.237002500000003</c:v>
                </c:pt>
                <c:pt idx="17">
                  <c:v>62.119256</c:v>
                </c:pt>
                <c:pt idx="18">
                  <c:v>64.440561500000001</c:v>
                </c:pt>
                <c:pt idx="19">
                  <c:v>62.662188</c:v>
                </c:pt>
                <c:pt idx="20">
                  <c:v>60.778964999999999</c:v>
                </c:pt>
                <c:pt idx="21">
                  <c:v>57.258711500000004</c:v>
                </c:pt>
                <c:pt idx="22">
                  <c:v>51.889993500000003</c:v>
                </c:pt>
                <c:pt idx="23">
                  <c:v>42.288328999999997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31-4E06-AC07-53E561DA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79578152"/>
        <c:axId val="979580264"/>
      </c:scatterChart>
      <c:scatterChart>
        <c:scatterStyle val="lineMarker"/>
        <c:varyColors val="0"/>
        <c:ser>
          <c:idx val="1"/>
          <c:order val="1"/>
          <c:tx>
            <c:strRef>
              <c:f>Sheet1!$N$1</c:f>
              <c:strCache>
                <c:ptCount val="1"/>
                <c:pt idx="0">
                  <c:v>Total Cost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Sheet1!$E$2:$E$25</c:f>
              <c:numCache>
                <c:formatCode>h:mm</c:formatCode>
                <c:ptCount val="24"/>
                <c:pt idx="0">
                  <c:v>0</c:v>
                </c:pt>
                <c:pt idx="1">
                  <c:v>4.1666666666666664E-2</c:v>
                </c:pt>
                <c:pt idx="2">
                  <c:v>8.3333333333333301E-2</c:v>
                </c:pt>
                <c:pt idx="3">
                  <c:v>0.125</c:v>
                </c:pt>
                <c:pt idx="4">
                  <c:v>0.16666666666666699</c:v>
                </c:pt>
                <c:pt idx="5">
                  <c:v>0.20833333333333301</c:v>
                </c:pt>
                <c:pt idx="6">
                  <c:v>0.25</c:v>
                </c:pt>
                <c:pt idx="7">
                  <c:v>0.29166666666666702</c:v>
                </c:pt>
                <c:pt idx="8">
                  <c:v>0.33333333333333298</c:v>
                </c:pt>
                <c:pt idx="9">
                  <c:v>0.375</c:v>
                </c:pt>
                <c:pt idx="10">
                  <c:v>0.41666666666666702</c:v>
                </c:pt>
                <c:pt idx="11">
                  <c:v>0.45833333333333298</c:v>
                </c:pt>
                <c:pt idx="12">
                  <c:v>0.5</c:v>
                </c:pt>
                <c:pt idx="13">
                  <c:v>0.54166666666666696</c:v>
                </c:pt>
                <c:pt idx="14">
                  <c:v>0.58333333333333304</c:v>
                </c:pt>
                <c:pt idx="15">
                  <c:v>0.625</c:v>
                </c:pt>
                <c:pt idx="16">
                  <c:v>0.66666666666666696</c:v>
                </c:pt>
                <c:pt idx="17">
                  <c:v>0.70833333333333304</c:v>
                </c:pt>
                <c:pt idx="18">
                  <c:v>0.75</c:v>
                </c:pt>
                <c:pt idx="19">
                  <c:v>0.79166666666666696</c:v>
                </c:pt>
                <c:pt idx="20">
                  <c:v>0.83333333333333304</c:v>
                </c:pt>
                <c:pt idx="21">
                  <c:v>0.875</c:v>
                </c:pt>
                <c:pt idx="22">
                  <c:v>0.91666666666666696</c:v>
                </c:pt>
                <c:pt idx="23">
                  <c:v>0.95833333333333304</c:v>
                </c:pt>
              </c:numCache>
            </c:numRef>
          </c:xVal>
          <c:yVal>
            <c:numRef>
              <c:f>Sheet1!$N$2:$N$25</c:f>
              <c:numCache>
                <c:formatCode>General</c:formatCode>
                <c:ptCount val="24"/>
                <c:pt idx="0">
                  <c:v>6847.1249925769807</c:v>
                </c:pt>
                <c:pt idx="1">
                  <c:v>7028.2539691125021</c:v>
                </c:pt>
                <c:pt idx="2">
                  <c:v>5299.5162931888153</c:v>
                </c:pt>
                <c:pt idx="3">
                  <c:v>800</c:v>
                </c:pt>
                <c:pt idx="4">
                  <c:v>800</c:v>
                </c:pt>
                <c:pt idx="5">
                  <c:v>800</c:v>
                </c:pt>
                <c:pt idx="6">
                  <c:v>800</c:v>
                </c:pt>
                <c:pt idx="7">
                  <c:v>800</c:v>
                </c:pt>
                <c:pt idx="8">
                  <c:v>800</c:v>
                </c:pt>
                <c:pt idx="9">
                  <c:v>800</c:v>
                </c:pt>
                <c:pt idx="10">
                  <c:v>4839.5064159072535</c:v>
                </c:pt>
                <c:pt idx="11">
                  <c:v>5914.2094471765322</c:v>
                </c:pt>
                <c:pt idx="12">
                  <c:v>8730.6113096734043</c:v>
                </c:pt>
                <c:pt idx="13">
                  <c:v>9858.5465907216458</c:v>
                </c:pt>
                <c:pt idx="14">
                  <c:v>11014.592780521059</c:v>
                </c:pt>
                <c:pt idx="15">
                  <c:v>10244.370547600782</c:v>
                </c:pt>
                <c:pt idx="16">
                  <c:v>11049.852375925031</c:v>
                </c:pt>
                <c:pt idx="17">
                  <c:v>11594.009829967679</c:v>
                </c:pt>
                <c:pt idx="18">
                  <c:v>13062.929832176414</c:v>
                </c:pt>
                <c:pt idx="19">
                  <c:v>11932.74902473672</c:v>
                </c:pt>
                <c:pt idx="20">
                  <c:v>10770.412932356126</c:v>
                </c:pt>
                <c:pt idx="21">
                  <c:v>8692.8002132011625</c:v>
                </c:pt>
                <c:pt idx="22">
                  <c:v>5762.8571271502133</c:v>
                </c:pt>
                <c:pt idx="23">
                  <c:v>3020.7569240306025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231-4E06-AC07-53E561DA8C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4536712"/>
        <c:axId val="894531432"/>
      </c:scatterChart>
      <c:valAx>
        <c:axId val="9795781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80264"/>
        <c:crosses val="autoZero"/>
        <c:crossBetween val="midCat"/>
      </c:valAx>
      <c:valAx>
        <c:axId val="979580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79578152"/>
        <c:crosses val="autoZero"/>
        <c:crossBetween val="midCat"/>
      </c:valAx>
      <c:valAx>
        <c:axId val="89453143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4536712"/>
        <c:crosses val="max"/>
        <c:crossBetween val="midCat"/>
      </c:valAx>
      <c:valAx>
        <c:axId val="894536712"/>
        <c:scaling>
          <c:orientation val="minMax"/>
        </c:scaling>
        <c:delete val="1"/>
        <c:axPos val="b"/>
        <c:numFmt formatCode="h:mm" sourceLinked="1"/>
        <c:majorTickMark val="out"/>
        <c:minorTickMark val="none"/>
        <c:tickLblPos val="nextTo"/>
        <c:crossAx val="894531432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47625</xdr:colOff>
      <xdr:row>2</xdr:row>
      <xdr:rowOff>95250</xdr:rowOff>
    </xdr:from>
    <xdr:to>
      <xdr:col>22</xdr:col>
      <xdr:colOff>469900</xdr:colOff>
      <xdr:row>21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BD39B5-46A1-19D9-7ECC-DD792DFCE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161925</xdr:colOff>
      <xdr:row>3</xdr:row>
      <xdr:rowOff>44450</xdr:rowOff>
    </xdr:from>
    <xdr:to>
      <xdr:col>11</xdr:col>
      <xdr:colOff>815975</xdr:colOff>
      <xdr:row>18</xdr:row>
      <xdr:rowOff>25400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63DB205-D5A8-E343-C3BE-F6C6D387D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396875</xdr:colOff>
      <xdr:row>3</xdr:row>
      <xdr:rowOff>44450</xdr:rowOff>
    </xdr:from>
    <xdr:to>
      <xdr:col>11</xdr:col>
      <xdr:colOff>441325</xdr:colOff>
      <xdr:row>18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DD7260-EB25-B054-38A1-CFF206D01E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117475</xdr:colOff>
      <xdr:row>4</xdr:row>
      <xdr:rowOff>25400</xdr:rowOff>
    </xdr:from>
    <xdr:to>
      <xdr:col>12</xdr:col>
      <xdr:colOff>752475</xdr:colOff>
      <xdr:row>19</xdr:row>
      <xdr:rowOff>6350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1CB8392-8F17-ADAB-F566-06E50D3854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1965E-2621-4C26-898F-2532CD10ACC4}">
  <dimension ref="A1:N25"/>
  <sheetViews>
    <sheetView tabSelected="1" topLeftCell="B1" workbookViewId="0">
      <selection activeCell="N2" sqref="N2:N25"/>
    </sheetView>
  </sheetViews>
  <sheetFormatPr defaultRowHeight="14.5" x14ac:dyDescent="0.35"/>
  <cols>
    <col min="6" max="6" width="12.453125" bestFit="1" customWidth="1"/>
    <col min="12" max="12" width="12.7265625" bestFit="1" customWidth="1"/>
    <col min="13" max="13" width="12.7265625" customWidth="1"/>
    <col min="14" max="14" width="10.81640625" bestFit="1" customWidth="1"/>
  </cols>
  <sheetData>
    <row r="1" spans="1:14" x14ac:dyDescent="0.35">
      <c r="B1" t="s">
        <v>0</v>
      </c>
      <c r="C1" t="s">
        <v>1</v>
      </c>
      <c r="D1" t="s">
        <v>5</v>
      </c>
      <c r="E1" t="s">
        <v>6</v>
      </c>
      <c r="F1" t="s">
        <v>9</v>
      </c>
      <c r="G1" t="s">
        <v>10</v>
      </c>
      <c r="H1" t="s">
        <v>7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8</v>
      </c>
    </row>
    <row r="2" spans="1:14" x14ac:dyDescent="0.35">
      <c r="A2" t="s">
        <v>2</v>
      </c>
      <c r="B2">
        <v>30</v>
      </c>
      <c r="C2">
        <v>50</v>
      </c>
      <c r="D2">
        <v>0</v>
      </c>
      <c r="E2" s="1">
        <v>0</v>
      </c>
      <c r="F2">
        <v>166.90679</v>
      </c>
      <c r="G2">
        <v>306.29765000000003</v>
      </c>
      <c r="H2">
        <f>IF(G2&gt;F2,MAX(((G2-F2)*$B$3*2+$C$2+$B$2)/2,0),0)</f>
        <v>53.939086000000003</v>
      </c>
      <c r="I2">
        <f>IF(H2&gt;0,(H2-$B$2)/($B$3*2),0)</f>
        <v>119.69543000000002</v>
      </c>
      <c r="J2">
        <f>IF(H2&gt;0,(H2-$C$2)/($C$3*2),0)</f>
        <v>19.695430000000016</v>
      </c>
      <c r="K2">
        <f>MIN(F2,G2)</f>
        <v>166.90679</v>
      </c>
      <c r="L2">
        <f>MAX(F2-K2,0)</f>
        <v>0</v>
      </c>
      <c r="M2">
        <f>SUM($L$2:L2)</f>
        <v>0</v>
      </c>
      <c r="N2">
        <f>$B$4+$C$4+$D$4+I2*$B$2+I2^2*$B$3+J2*$C$2+J2^2*$C$3</f>
        <v>6847.1249925769807</v>
      </c>
    </row>
    <row r="3" spans="1:14" x14ac:dyDescent="0.35">
      <c r="A3" t="s">
        <v>3</v>
      </c>
      <c r="B3">
        <v>0.1</v>
      </c>
      <c r="C3">
        <v>0.1</v>
      </c>
      <c r="D3">
        <v>0</v>
      </c>
      <c r="E3" s="1">
        <v>4.1666666666666664E-2</v>
      </c>
      <c r="F3">
        <v>165.72772000000001</v>
      </c>
      <c r="G3">
        <v>308.46622000000002</v>
      </c>
      <c r="H3">
        <f t="shared" ref="H3:H24" si="0">IF(G3&gt;F3,MAX(((G3-F3)*$B$3*2+$C$2+$B$2)/2,0),0)</f>
        <v>54.273850000000003</v>
      </c>
      <c r="I3">
        <f t="shared" ref="I3:I7" si="1">IF(H3&gt;0,(H3-$B$2)/($B$3*2),0)</f>
        <v>121.36925000000001</v>
      </c>
      <c r="J3">
        <f t="shared" ref="J3:J24" si="2">IF(H3&gt;0,(H3-$C$2)/($C$3*2),0)</f>
        <v>21.369250000000015</v>
      </c>
      <c r="K3">
        <f t="shared" ref="K3:K25" si="3">MIN(F3,G3)</f>
        <v>165.72772000000001</v>
      </c>
      <c r="L3">
        <f t="shared" ref="L3:L25" si="4">MAX(F3-K3,0)</f>
        <v>0</v>
      </c>
      <c r="M3">
        <f>SUM($L$2:L3)</f>
        <v>0</v>
      </c>
      <c r="N3">
        <f t="shared" ref="N3:N25" si="5">$B$4+$C$4+$D$4+I3*$B$2+I3^2*$B$3+J3*$C$2+J3^2*$C$3</f>
        <v>7028.2539691125021</v>
      </c>
    </row>
    <row r="4" spans="1:14" x14ac:dyDescent="0.35">
      <c r="A4" t="s">
        <v>4</v>
      </c>
      <c r="B4">
        <v>100</v>
      </c>
      <c r="C4">
        <v>200</v>
      </c>
      <c r="D4">
        <v>500</v>
      </c>
      <c r="E4" s="1">
        <v>8.3333333333333301E-2</v>
      </c>
      <c r="F4">
        <v>178.76535499999997</v>
      </c>
      <c r="G4">
        <v>288.65782000000002</v>
      </c>
      <c r="H4">
        <f t="shared" si="0"/>
        <v>50.989246500000007</v>
      </c>
      <c r="I4">
        <f t="shared" si="1"/>
        <v>104.94623250000004</v>
      </c>
      <c r="J4">
        <f t="shared" si="2"/>
        <v>4.9462325000000362</v>
      </c>
      <c r="K4">
        <f t="shared" si="3"/>
        <v>178.76535499999997</v>
      </c>
      <c r="L4">
        <f t="shared" si="4"/>
        <v>0</v>
      </c>
      <c r="M4">
        <f>SUM($L$2:L4)</f>
        <v>0</v>
      </c>
      <c r="N4">
        <f t="shared" si="5"/>
        <v>5299.5162931888153</v>
      </c>
    </row>
    <row r="5" spans="1:14" x14ac:dyDescent="0.35">
      <c r="E5" s="1">
        <v>0.125</v>
      </c>
      <c r="F5">
        <v>267.89659500000005</v>
      </c>
      <c r="G5">
        <v>265.64571999999998</v>
      </c>
      <c r="H5">
        <f t="shared" si="0"/>
        <v>0</v>
      </c>
      <c r="I5">
        <f t="shared" si="1"/>
        <v>0</v>
      </c>
      <c r="J5">
        <f t="shared" si="2"/>
        <v>0</v>
      </c>
      <c r="K5">
        <f t="shared" si="3"/>
        <v>265.64571999999998</v>
      </c>
      <c r="L5">
        <f t="shared" si="4"/>
        <v>2.2508750000000646</v>
      </c>
      <c r="M5">
        <f>SUM($L$2:L5)</f>
        <v>2.2508750000000646</v>
      </c>
      <c r="N5">
        <f t="shared" si="5"/>
        <v>800</v>
      </c>
    </row>
    <row r="6" spans="1:14" x14ac:dyDescent="0.35">
      <c r="E6" s="1">
        <v>0.16666666666666699</v>
      </c>
      <c r="F6">
        <v>333.16871500000002</v>
      </c>
      <c r="G6">
        <v>251.41318999999999</v>
      </c>
      <c r="H6">
        <f t="shared" si="0"/>
        <v>0</v>
      </c>
      <c r="I6">
        <f t="shared" si="1"/>
        <v>0</v>
      </c>
      <c r="J6">
        <f t="shared" si="2"/>
        <v>0</v>
      </c>
      <c r="K6">
        <f t="shared" si="3"/>
        <v>251.41318999999999</v>
      </c>
      <c r="L6">
        <f t="shared" si="4"/>
        <v>81.755525000000034</v>
      </c>
      <c r="M6">
        <f>SUM($L$2:L6)</f>
        <v>84.006400000000099</v>
      </c>
      <c r="N6">
        <f t="shared" si="5"/>
        <v>800</v>
      </c>
    </row>
    <row r="7" spans="1:14" x14ac:dyDescent="0.35">
      <c r="E7" s="1">
        <v>0.20833333333333301</v>
      </c>
      <c r="F7">
        <v>348.08623999999998</v>
      </c>
      <c r="G7">
        <v>249.92004000000003</v>
      </c>
      <c r="H7">
        <f t="shared" si="0"/>
        <v>0</v>
      </c>
      <c r="I7">
        <f t="shared" si="1"/>
        <v>0</v>
      </c>
      <c r="J7">
        <f t="shared" si="2"/>
        <v>0</v>
      </c>
      <c r="K7">
        <f t="shared" si="3"/>
        <v>249.92004000000003</v>
      </c>
      <c r="L7">
        <f t="shared" si="4"/>
        <v>98.166199999999947</v>
      </c>
      <c r="M7">
        <f>SUM($L$2:L7)</f>
        <v>182.17260000000005</v>
      </c>
      <c r="N7">
        <f t="shared" si="5"/>
        <v>800</v>
      </c>
    </row>
    <row r="8" spans="1:14" x14ac:dyDescent="0.35">
      <c r="E8" s="1">
        <v>0.25</v>
      </c>
      <c r="F8">
        <v>350.86810499999996</v>
      </c>
      <c r="G8">
        <v>265.02640000000002</v>
      </c>
      <c r="H8">
        <f t="shared" si="0"/>
        <v>0</v>
      </c>
      <c r="I8">
        <f>IF(H8&gt;0,(H8-$B$2)/($B$3*2),0)</f>
        <v>0</v>
      </c>
      <c r="J8">
        <f t="shared" si="2"/>
        <v>0</v>
      </c>
      <c r="K8">
        <f t="shared" si="3"/>
        <v>265.02640000000002</v>
      </c>
      <c r="L8">
        <f t="shared" si="4"/>
        <v>85.841704999999934</v>
      </c>
      <c r="M8">
        <f>SUM($L$2:L8)</f>
        <v>268.01430499999998</v>
      </c>
      <c r="N8">
        <f t="shared" si="5"/>
        <v>800</v>
      </c>
    </row>
    <row r="9" spans="1:14" x14ac:dyDescent="0.35">
      <c r="E9" s="1">
        <v>0.29166666666666702</v>
      </c>
      <c r="F9">
        <v>378.46773999999999</v>
      </c>
      <c r="G9">
        <v>273.47028</v>
      </c>
      <c r="H9">
        <f t="shared" si="0"/>
        <v>0</v>
      </c>
      <c r="I9">
        <f t="shared" ref="I9:I24" si="6">IF(H9&gt;0,(H9-$B$2)/($B$3*2),0)</f>
        <v>0</v>
      </c>
      <c r="J9">
        <f t="shared" si="2"/>
        <v>0</v>
      </c>
      <c r="K9">
        <f t="shared" si="3"/>
        <v>273.47028</v>
      </c>
      <c r="L9">
        <f t="shared" si="4"/>
        <v>104.99745999999999</v>
      </c>
      <c r="M9">
        <f>SUM($L$2:L9)</f>
        <v>373.01176499999997</v>
      </c>
      <c r="N9">
        <f t="shared" si="5"/>
        <v>800</v>
      </c>
    </row>
    <row r="10" spans="1:14" x14ac:dyDescent="0.35">
      <c r="E10" s="1">
        <v>0.33333333333333298</v>
      </c>
      <c r="F10">
        <v>408.93217999999996</v>
      </c>
      <c r="G10">
        <v>288.53741000000002</v>
      </c>
      <c r="H10">
        <f t="shared" si="0"/>
        <v>0</v>
      </c>
      <c r="I10">
        <f t="shared" si="6"/>
        <v>0</v>
      </c>
      <c r="J10">
        <f t="shared" si="2"/>
        <v>0</v>
      </c>
      <c r="K10">
        <f t="shared" si="3"/>
        <v>288.53741000000002</v>
      </c>
      <c r="L10">
        <f t="shared" si="4"/>
        <v>120.39476999999994</v>
      </c>
      <c r="M10">
        <f>SUM($L$2:L10)</f>
        <v>493.40653499999991</v>
      </c>
      <c r="N10">
        <f t="shared" si="5"/>
        <v>800</v>
      </c>
    </row>
    <row r="11" spans="1:14" x14ac:dyDescent="0.35">
      <c r="E11" s="1">
        <v>0.375</v>
      </c>
      <c r="F11">
        <v>418.90257499999996</v>
      </c>
      <c r="G11">
        <v>315.19475999999997</v>
      </c>
      <c r="H11">
        <f t="shared" si="0"/>
        <v>0</v>
      </c>
      <c r="I11">
        <f t="shared" si="6"/>
        <v>0</v>
      </c>
      <c r="J11">
        <f t="shared" si="2"/>
        <v>0</v>
      </c>
      <c r="K11">
        <f t="shared" si="3"/>
        <v>315.19475999999997</v>
      </c>
      <c r="L11">
        <f t="shared" si="4"/>
        <v>103.70781499999998</v>
      </c>
      <c r="M11">
        <f>SUM($L$2:L11)</f>
        <v>597.11434999999983</v>
      </c>
      <c r="N11">
        <f t="shared" si="5"/>
        <v>800</v>
      </c>
    </row>
    <row r="12" spans="1:14" x14ac:dyDescent="0.35">
      <c r="E12" s="1">
        <v>0.41666666666666702</v>
      </c>
      <c r="F12">
        <v>239.40287499999999</v>
      </c>
      <c r="G12">
        <v>340.19238000000001</v>
      </c>
      <c r="H12">
        <f t="shared" si="0"/>
        <v>50.078950500000005</v>
      </c>
      <c r="I12">
        <f t="shared" si="6"/>
        <v>100.39475250000002</v>
      </c>
      <c r="J12">
        <f t="shared" si="2"/>
        <v>0.39475250000002404</v>
      </c>
      <c r="K12">
        <f t="shared" si="3"/>
        <v>239.40287499999999</v>
      </c>
      <c r="L12">
        <f t="shared" si="4"/>
        <v>0</v>
      </c>
      <c r="M12">
        <f>SUM($L$2:L12)</f>
        <v>597.11434999999983</v>
      </c>
      <c r="N12">
        <f t="shared" si="5"/>
        <v>4839.5064159072535</v>
      </c>
    </row>
    <row r="13" spans="1:14" x14ac:dyDescent="0.35">
      <c r="E13" s="1">
        <v>0.45833333333333298</v>
      </c>
      <c r="F13">
        <v>235.62434500000001</v>
      </c>
      <c r="G13">
        <v>357.43292000000002</v>
      </c>
      <c r="H13">
        <f t="shared" si="0"/>
        <v>52.180857500000002</v>
      </c>
      <c r="I13">
        <f t="shared" si="6"/>
        <v>110.90428750000001</v>
      </c>
      <c r="J13">
        <f t="shared" si="2"/>
        <v>10.904287500000009</v>
      </c>
      <c r="K13">
        <f t="shared" si="3"/>
        <v>235.62434500000001</v>
      </c>
      <c r="L13">
        <f t="shared" si="4"/>
        <v>0</v>
      </c>
      <c r="M13">
        <f>SUM($L$2:L13)</f>
        <v>597.11434999999983</v>
      </c>
      <c r="N13">
        <f t="shared" si="5"/>
        <v>5914.2094471765322</v>
      </c>
    </row>
    <row r="14" spans="1:14" x14ac:dyDescent="0.35">
      <c r="E14" s="1">
        <v>0.5</v>
      </c>
      <c r="F14">
        <v>209.69229999999999</v>
      </c>
      <c r="G14">
        <v>382.93939</v>
      </c>
      <c r="H14">
        <f t="shared" si="0"/>
        <v>57.324708999999999</v>
      </c>
      <c r="I14">
        <f t="shared" si="6"/>
        <v>136.62354499999998</v>
      </c>
      <c r="J14">
        <f t="shared" si="2"/>
        <v>36.623544999999993</v>
      </c>
      <c r="K14">
        <f t="shared" si="3"/>
        <v>209.69229999999999</v>
      </c>
      <c r="L14">
        <f t="shared" si="4"/>
        <v>0</v>
      </c>
      <c r="M14">
        <f>SUM($L$2:L14)</f>
        <v>597.11434999999983</v>
      </c>
      <c r="N14">
        <f t="shared" si="5"/>
        <v>8730.6113096734043</v>
      </c>
    </row>
    <row r="15" spans="1:14" x14ac:dyDescent="0.35">
      <c r="E15" s="1">
        <v>0.54166666666666696</v>
      </c>
      <c r="F15">
        <v>201.70500999999999</v>
      </c>
      <c r="G15">
        <v>394.30178000000001</v>
      </c>
      <c r="H15">
        <f t="shared" si="0"/>
        <v>59.259677000000003</v>
      </c>
      <c r="I15">
        <f t="shared" si="6"/>
        <v>146.298385</v>
      </c>
      <c r="J15">
        <f t="shared" si="2"/>
        <v>46.298385000000017</v>
      </c>
      <c r="K15">
        <f t="shared" si="3"/>
        <v>201.70500999999999</v>
      </c>
      <c r="L15">
        <f t="shared" si="4"/>
        <v>0</v>
      </c>
      <c r="M15">
        <f>SUM($L$2:L15)</f>
        <v>597.11434999999983</v>
      </c>
      <c r="N15">
        <f t="shared" si="5"/>
        <v>9858.5465907216458</v>
      </c>
    </row>
    <row r="16" spans="1:14" x14ac:dyDescent="0.35">
      <c r="E16" s="1">
        <v>0.58333333333333304</v>
      </c>
      <c r="F16">
        <v>182.99998500000001</v>
      </c>
      <c r="G16">
        <v>394.79395</v>
      </c>
      <c r="H16">
        <f t="shared" si="0"/>
        <v>61.179396499999996</v>
      </c>
      <c r="I16">
        <f t="shared" si="6"/>
        <v>155.89698249999998</v>
      </c>
      <c r="J16">
        <f t="shared" si="2"/>
        <v>55.896982499999979</v>
      </c>
      <c r="K16">
        <f t="shared" si="3"/>
        <v>182.99998500000001</v>
      </c>
      <c r="L16">
        <f t="shared" si="4"/>
        <v>0</v>
      </c>
      <c r="M16">
        <f>SUM($L$2:L16)</f>
        <v>597.11434999999983</v>
      </c>
      <c r="N16">
        <f t="shared" si="5"/>
        <v>11014.592780521059</v>
      </c>
    </row>
    <row r="17" spans="5:14" x14ac:dyDescent="0.35">
      <c r="E17" s="1">
        <v>0.625</v>
      </c>
      <c r="F17">
        <v>209.188895</v>
      </c>
      <c r="G17">
        <v>408.26102000000003</v>
      </c>
      <c r="H17">
        <f t="shared" si="0"/>
        <v>59.9072125</v>
      </c>
      <c r="I17">
        <f t="shared" si="6"/>
        <v>149.53606249999999</v>
      </c>
      <c r="J17">
        <f t="shared" si="2"/>
        <v>49.5360625</v>
      </c>
      <c r="K17">
        <f t="shared" si="3"/>
        <v>209.188895</v>
      </c>
      <c r="L17">
        <f t="shared" si="4"/>
        <v>0</v>
      </c>
      <c r="M17">
        <f>SUM($L$2:L17)</f>
        <v>597.11434999999983</v>
      </c>
      <c r="N17">
        <f t="shared" si="5"/>
        <v>10244.370547600782</v>
      </c>
    </row>
    <row r="18" spans="5:14" x14ac:dyDescent="0.35">
      <c r="E18" s="1">
        <v>0.66666666666666696</v>
      </c>
      <c r="F18">
        <v>222.278355</v>
      </c>
      <c r="G18">
        <v>434.64837999999997</v>
      </c>
      <c r="H18">
        <f t="shared" si="0"/>
        <v>61.237002500000003</v>
      </c>
      <c r="I18">
        <f t="shared" si="6"/>
        <v>156.1850125</v>
      </c>
      <c r="J18">
        <f t="shared" si="2"/>
        <v>56.185012500000013</v>
      </c>
      <c r="K18">
        <f t="shared" si="3"/>
        <v>222.278355</v>
      </c>
      <c r="L18">
        <f>MAX(F18-K18,0)</f>
        <v>0</v>
      </c>
      <c r="M18">
        <f>SUM($L$2:L18)</f>
        <v>597.11434999999983</v>
      </c>
      <c r="N18">
        <f t="shared" si="5"/>
        <v>11049.852375925031</v>
      </c>
    </row>
    <row r="19" spans="5:14" x14ac:dyDescent="0.35">
      <c r="E19" s="1">
        <v>0.70833333333333304</v>
      </c>
      <c r="F19">
        <v>228.81857999999997</v>
      </c>
      <c r="G19">
        <v>450.01113999999995</v>
      </c>
      <c r="H19">
        <f t="shared" si="0"/>
        <v>62.119256</v>
      </c>
      <c r="I19">
        <f t="shared" si="6"/>
        <v>160.59627999999998</v>
      </c>
      <c r="J19">
        <f t="shared" si="2"/>
        <v>60.59628</v>
      </c>
      <c r="K19">
        <f t="shared" si="3"/>
        <v>228.81857999999997</v>
      </c>
      <c r="L19">
        <f t="shared" si="4"/>
        <v>0</v>
      </c>
      <c r="M19">
        <f>SUM($L$2:L19)</f>
        <v>597.11434999999983</v>
      </c>
      <c r="N19">
        <f t="shared" si="5"/>
        <v>11594.009829967679</v>
      </c>
    </row>
    <row r="20" spans="5:14" x14ac:dyDescent="0.35">
      <c r="E20" s="1">
        <v>0.75</v>
      </c>
      <c r="F20">
        <v>190.36951499999998</v>
      </c>
      <c r="G20">
        <v>434.77512999999999</v>
      </c>
      <c r="H20">
        <f t="shared" si="0"/>
        <v>64.440561500000001</v>
      </c>
      <c r="I20">
        <f t="shared" si="6"/>
        <v>172.20280750000001</v>
      </c>
      <c r="J20">
        <f t="shared" si="2"/>
        <v>72.202807500000006</v>
      </c>
      <c r="K20">
        <f t="shared" si="3"/>
        <v>190.36951499999998</v>
      </c>
      <c r="L20">
        <f t="shared" si="4"/>
        <v>0</v>
      </c>
      <c r="M20">
        <f>SUM($L$2:L20)</f>
        <v>597.11434999999983</v>
      </c>
      <c r="N20">
        <f t="shared" si="5"/>
        <v>13062.929832176414</v>
      </c>
    </row>
    <row r="21" spans="5:14" x14ac:dyDescent="0.35">
      <c r="E21" s="1">
        <v>0.79166666666666696</v>
      </c>
      <c r="F21">
        <v>182.53154999999998</v>
      </c>
      <c r="G21">
        <v>409.15342999999996</v>
      </c>
      <c r="H21">
        <f t="shared" si="0"/>
        <v>62.662188</v>
      </c>
      <c r="I21">
        <f t="shared" si="6"/>
        <v>163.31093999999999</v>
      </c>
      <c r="J21">
        <f t="shared" si="2"/>
        <v>63.310940000000002</v>
      </c>
      <c r="K21">
        <f t="shared" si="3"/>
        <v>182.53154999999998</v>
      </c>
      <c r="L21">
        <f t="shared" si="4"/>
        <v>0</v>
      </c>
      <c r="M21">
        <f>SUM($L$2:L21)</f>
        <v>597.11434999999983</v>
      </c>
      <c r="N21">
        <f t="shared" si="5"/>
        <v>11932.74902473672</v>
      </c>
    </row>
    <row r="22" spans="5:14" x14ac:dyDescent="0.35">
      <c r="E22" s="1">
        <v>0.83333333333333304</v>
      </c>
      <c r="F22">
        <v>179.25729000000001</v>
      </c>
      <c r="G22">
        <v>387.04694000000001</v>
      </c>
      <c r="H22">
        <f t="shared" si="0"/>
        <v>60.778964999999999</v>
      </c>
      <c r="I22">
        <f t="shared" si="6"/>
        <v>153.894825</v>
      </c>
      <c r="J22">
        <f t="shared" si="2"/>
        <v>53.894824999999997</v>
      </c>
      <c r="K22">
        <f t="shared" si="3"/>
        <v>179.25729000000001</v>
      </c>
      <c r="L22">
        <f t="shared" si="4"/>
        <v>0</v>
      </c>
      <c r="M22">
        <f>SUM($L$2:L22)</f>
        <v>597.11434999999983</v>
      </c>
      <c r="N22">
        <f t="shared" si="5"/>
        <v>10770.412932356126</v>
      </c>
    </row>
    <row r="23" spans="5:14" x14ac:dyDescent="0.35">
      <c r="E23" s="1">
        <v>0.875</v>
      </c>
      <c r="F23">
        <v>182.83012500000001</v>
      </c>
      <c r="G23">
        <v>355.41723999999999</v>
      </c>
      <c r="H23">
        <f t="shared" si="0"/>
        <v>57.258711500000004</v>
      </c>
      <c r="I23">
        <f t="shared" si="6"/>
        <v>136.29355750000002</v>
      </c>
      <c r="J23">
        <f t="shared" si="2"/>
        <v>36.29355750000002</v>
      </c>
      <c r="K23">
        <f t="shared" si="3"/>
        <v>182.83012500000001</v>
      </c>
      <c r="L23">
        <f t="shared" si="4"/>
        <v>0</v>
      </c>
      <c r="M23">
        <f>SUM($L$2:L23)</f>
        <v>597.11434999999983</v>
      </c>
      <c r="N23">
        <f t="shared" si="5"/>
        <v>8692.8002132011625</v>
      </c>
    </row>
    <row r="24" spans="5:14" x14ac:dyDescent="0.35">
      <c r="E24" s="1">
        <v>0.91666666666666696</v>
      </c>
      <c r="F24">
        <v>194.58824499999997</v>
      </c>
      <c r="G24">
        <v>313.48818</v>
      </c>
      <c r="H24">
        <f t="shared" si="0"/>
        <v>51.889993500000003</v>
      </c>
      <c r="I24">
        <f t="shared" si="6"/>
        <v>109.44996750000001</v>
      </c>
      <c r="J24">
        <f t="shared" si="2"/>
        <v>9.4499675000000138</v>
      </c>
      <c r="K24">
        <f t="shared" si="3"/>
        <v>194.58824499999997</v>
      </c>
      <c r="L24">
        <f t="shared" si="4"/>
        <v>0</v>
      </c>
      <c r="M24">
        <f>SUM($L$2:L24)</f>
        <v>597.11434999999983</v>
      </c>
      <c r="N24">
        <f t="shared" si="5"/>
        <v>5762.8571271502133</v>
      </c>
    </row>
    <row r="25" spans="5:14" x14ac:dyDescent="0.35">
      <c r="E25" s="1">
        <v>0.95833333333333304</v>
      </c>
      <c r="F25">
        <v>214.08334500000001</v>
      </c>
      <c r="G25">
        <v>275.52499</v>
      </c>
      <c r="H25">
        <f>B2+B3*2*I25</f>
        <v>42.288328999999997</v>
      </c>
      <c r="I25">
        <f>G25-F25</f>
        <v>61.441644999999994</v>
      </c>
      <c r="J25">
        <v>0</v>
      </c>
      <c r="K25">
        <f t="shared" si="3"/>
        <v>214.08334500000001</v>
      </c>
      <c r="L25">
        <f t="shared" si="4"/>
        <v>0</v>
      </c>
      <c r="M25">
        <f>SUM($L$2:L25)</f>
        <v>597.11434999999983</v>
      </c>
      <c r="N25">
        <f t="shared" si="5"/>
        <v>3020.7569240306025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Greenwood</dc:creator>
  <cp:lastModifiedBy>David Greenwood</cp:lastModifiedBy>
  <dcterms:created xsi:type="dcterms:W3CDTF">2026-09-01T11:59:26Z</dcterms:created>
  <dcterms:modified xsi:type="dcterms:W3CDTF">2026-09-01T13:28:14Z</dcterms:modified>
</cp:coreProperties>
</file>